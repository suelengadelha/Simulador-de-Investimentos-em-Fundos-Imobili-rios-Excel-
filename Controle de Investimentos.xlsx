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ele\OneDrive\Área de Trabalho\Estudos\Excel com IA - DIO\Projeto 1\"/>
    </mc:Choice>
  </mc:AlternateContent>
  <xr:revisionPtr revIDLastSave="0" documentId="13_ncr:1_{1DE437CE-F5FB-419C-8D0C-FB39941ED727}" xr6:coauthVersionLast="47" xr6:coauthVersionMax="47" xr10:uidLastSave="{00000000-0000-0000-0000-000000000000}"/>
  <bookViews>
    <workbookView xWindow="-120" yWindow="-120" windowWidth="29040" windowHeight="15840" tabRatio="34" xr2:uid="{46564197-3761-42D6-B00D-44FEEC17A8FB}"/>
  </bookViews>
  <sheets>
    <sheet name="Simulador" sheetId="1" r:id="rId1"/>
    <sheet name="tab_Apoios" sheetId="2" r:id="rId2"/>
  </sheets>
  <definedNames>
    <definedName name="_xlchart.v1.0" hidden="1">Simulador!$B$33:$B$38</definedName>
    <definedName name="_xlchart.v1.1" hidden="1">Simulador!$C$32</definedName>
    <definedName name="_xlchart.v1.2" hidden="1">Simulador!$C$33:$C$38</definedName>
    <definedName name="aporte">Simulador!$D$15</definedName>
    <definedName name="patrimonio">Simulador!$D$18</definedName>
    <definedName name="qtd_anos">Simulador!$D$16</definedName>
    <definedName name="rendimento_carteira">Simulador!$D$11</definedName>
    <definedName name="salario">Simulador!$D$10</definedName>
    <definedName name="sugestao_investimento">Simulador!$D$12</definedName>
    <definedName name="taxa_mensal">Simulador!$D$17</definedName>
  </definedNames>
  <calcPr calcId="18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30" i="1"/>
  <c r="C24" i="1"/>
  <c r="D24" i="1" s="1"/>
  <c r="C25" i="1"/>
  <c r="D25" i="1" s="1"/>
  <c r="C26" i="1"/>
  <c r="D26" i="1" s="1"/>
  <c r="C27" i="1"/>
  <c r="D27" i="1" s="1"/>
  <c r="C23" i="1"/>
  <c r="D23" i="1" s="1"/>
  <c r="D18" i="1"/>
  <c r="D19" i="1" s="1"/>
  <c r="D12" i="1"/>
  <c r="D34" i="1" l="1"/>
  <c r="D37" i="1"/>
  <c r="D36" i="1"/>
  <c r="D33" i="1"/>
  <c r="D35" i="1"/>
  <c r="D38" i="1"/>
  <c r="D39" i="1" l="1"/>
</calcChain>
</file>

<file path=xl/sharedStrings.xml><?xml version="1.0" encoding="utf-8"?>
<sst xmlns="http://schemas.openxmlformats.org/spreadsheetml/2006/main" count="66" uniqueCount="31">
  <si>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</si>
  <si>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</si>
  <si>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</si>
  <si>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</si>
  <si>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</si>
  <si>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</si>
  <si>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Período (anos)</t>
  </si>
  <si>
    <t>Patrimônio Acumulado</t>
  </si>
  <si>
    <t>Salário</t>
  </si>
  <si>
    <t>Rendimento Carteira</t>
  </si>
  <si>
    <t>Sugestão de Investimento</t>
  </si>
  <si>
    <t>Dividendos</t>
  </si>
  <si>
    <t>CONFIGURAÇÕES</t>
  </si>
  <si>
    <t>CENÁRIOS</t>
  </si>
  <si>
    <t>Agressivo</t>
  </si>
  <si>
    <t>PERFIL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</si>
  <si>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</si>
  <si>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</si>
  <si>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</si>
  <si>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</si>
  <si>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</si>
  <si>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</si>
  <si>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</si>
  <si>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</si>
  <si>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</si>
  <si>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</si>
  <si>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CONSERVADOR</t>
  </si>
  <si>
    <t>CHAVE</t>
  </si>
  <si>
    <t>MODERADO</t>
  </si>
  <si>
    <t>AGRESSIVO</t>
  </si>
  <si>
    <t>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</si>
</sst>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20"/>
      <color theme="0"/>
      <name val="Tw Cen MT Condensed"/>
      <family val="2"/>
    </font>
    <font>
      <sz val="11"/>
      <color rgb="FF9C5700"/>
      <name val="Calibri"/>
      <family val="2"/>
      <scheme val="minor"/>
    </font>
    <font>
      <sz val="12"/>
      <color theme="1"/>
      <name val="Segoe UI Semibold"/>
      <family val="2"/>
    </font>
    <font>
      <b/>
      <sz val="12"/>
      <color theme="1"/>
      <name val="Segoe UI Semibold"/>
      <family val="2"/>
    </font>
    <font>
      <b/>
      <sz val="13"/>
      <color theme="1"/>
      <name val="Segoe UI Semibold"/>
      <family val="2"/>
    </font>
    <font>
      <sz val="12"/>
      <color rgb="FF9C570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12563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EEB5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52">
    <xf numFmtId="0" fontId="0" fillId="0" borderId="0" xfId="0"/>
    <xf numFmtId="164" fontId="3" fillId="0" borderId="8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8" fontId="3" fillId="3" borderId="15" xfId="0" applyNumberFormat="1" applyFont="1" applyFill="1" applyBorder="1" applyAlignment="1">
      <alignment horizontal="center"/>
    </xf>
    <xf numFmtId="8" fontId="3" fillId="3" borderId="13" xfId="0" applyNumberFormat="1" applyFont="1" applyFill="1" applyBorder="1" applyAlignment="1">
      <alignment horizontal="center"/>
    </xf>
    <xf numFmtId="164" fontId="3" fillId="3" borderId="15" xfId="0" applyNumberFormat="1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4" fontId="3" fillId="3" borderId="12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6" fillId="5" borderId="0" xfId="1" applyFont="1"/>
    <xf numFmtId="0" fontId="6" fillId="5" borderId="0" xfId="1" applyFont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8" fontId="4" fillId="3" borderId="6" xfId="0" applyNumberFormat="1" applyFont="1" applyFill="1" applyBorder="1" applyAlignment="1">
      <alignment horizontal="center"/>
    </xf>
    <xf numFmtId="8" fontId="4" fillId="3" borderId="8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9" fontId="3" fillId="0" borderId="21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3" fillId="0" borderId="5" xfId="0" applyFont="1" applyBorder="1" applyAlignment="1">
      <alignment horizontal="left" indent="1"/>
    </xf>
    <xf numFmtId="0" fontId="3" fillId="0" borderId="15" xfId="0" applyFont="1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17" xfId="0" applyFont="1" applyBorder="1" applyAlignment="1">
      <alignment horizontal="left" inden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indent="1"/>
    </xf>
    <xf numFmtId="0" fontId="4" fillId="3" borderId="12" xfId="0" applyFont="1" applyFill="1" applyBorder="1" applyAlignment="1">
      <alignment horizontal="left" inden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indent="1"/>
    </xf>
    <xf numFmtId="0" fontId="4" fillId="3" borderId="15" xfId="0" applyFont="1" applyFill="1" applyBorder="1" applyAlignment="1">
      <alignment horizontal="left" indent="1"/>
    </xf>
    <xf numFmtId="0" fontId="6" fillId="5" borderId="0" xfId="1" applyFont="1" applyAlignment="1">
      <alignment horizontal="left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EEB500"/>
      <color rgb="FF125636"/>
      <color rgb="FF176F45"/>
      <color rgb="FF1B7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Simulador!$C$32</c:f>
              <c:strCache>
                <c:ptCount val="1"/>
                <c:pt idx="0">
                  <c:v>PERCENTUAL SUGERIDO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B-4E82-A9BF-69B5E0FA26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B-4E82-A9BF-69B5E0FA26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4B-4E82-A9BF-69B5E0FA26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4B-4E82-A9BF-69B5E0FA26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4B-4E82-A9BF-69B5E0FA26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4B-4E82-A9BF-69B5E0FA26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4B-4E82-A9BF-69B5E0FA26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1156139</xdr:colOff>
      <xdr:row>0</xdr:row>
      <xdr:rowOff>45983</xdr:rowOff>
    </xdr:from>
    <xdr:to>
      <xdr:col>3</xdr:col>
      <xdr:colOff>860534</xdr:colOff>
      <xdr:row>7</xdr:row>
      <xdr:rowOff>222361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D0553C81-DCAA-B963-3667-075554E2C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5739" y="45983"/>
          <a:ext cx="4257345" cy="1509878"/>
        </a:xfrm>
        <a:prstGeom prst="rect">
          <a:avLst/>
        </a:prstGeom>
      </xdr:spPr>
    </xdr:pic>
    <xdr:clientData/>
  </xdr:twoCellAnchor>
  <xdr:twoCellAnchor>
    <xdr:from>
      <xdr:col>1</xdr:col>
      <xdr:colOff>1019175</xdr:colOff>
      <xdr:row>39</xdr:row>
      <xdr:rowOff>161925</xdr:rowOff>
    </xdr:from>
    <xdr:to>
      <xdr:col>3</xdr:col>
      <xdr:colOff>1038225</xdr:colOff>
      <xdr:row>54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59D942-7F59-43DC-AE1A-5F2C0FA18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85CA-6B0E-4BA8-A23B-B179D7403AC7}">
  <dimension ref="A1:E64"/>
  <sheetViews>
    <sheetView showGridLines="0" tabSelected="1" topLeftCell="A16" zoomScaleNormal="100" workbookViewId="0">
      <selection activeCell="B40" sqref="B40"/>
    </sheetView>
  </sheetViews>
  <sheetFormatPr defaultColWidth="0" defaultRowHeight="15" zeroHeight="1" x14ac:dyDescent="0.25"/>
  <cols>
    <col min="1" max="1" width="9.140625" customWidth="1"/>
    <col min="2" max="2" width="39.5703125" customWidth="1"/>
    <col min="3" max="3" width="28.7109375" bestFit="1" customWidth="1"/>
    <col min="4" max="4" width="27.42578125" customWidth="1"/>
    <col min="5" max="5" width="9.140625" customWidth="1"/>
    <col min="6" max="8" width="9.140625" hidden="1" customWidth="1"/>
    <col min="9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ht="25.5" customHeight="1" thickBot="1" x14ac:dyDescent="0.3"/>
    <row r="9" spans="2:4" ht="25.5" x14ac:dyDescent="0.25">
      <c r="B9" s="32" t="s">
        <v>12</v>
      </c>
      <c r="C9" s="33"/>
      <c r="D9" s="34"/>
    </row>
    <row r="10" spans="2:4" ht="17.25" x14ac:dyDescent="0.3">
      <c r="B10" s="39" t="s">
        <v>8</v>
      </c>
      <c r="C10" s="40"/>
      <c r="D10" s="16">
        <v>2000</v>
      </c>
    </row>
    <row r="11" spans="2:4" ht="17.25" x14ac:dyDescent="0.3">
      <c r="B11" s="37" t="s">
        <v>9</v>
      </c>
      <c r="C11" s="38"/>
      <c r="D11" s="31">
        <v>6.0000000000000001E-3</v>
      </c>
    </row>
    <row r="12" spans="2:4" ht="18" thickBot="1" x14ac:dyDescent="0.35">
      <c r="B12" s="35" t="s">
        <v>10</v>
      </c>
      <c r="C12" s="36"/>
      <c r="D12" s="1">
        <f>$D$10*30%</f>
        <v>600</v>
      </c>
    </row>
    <row r="13" spans="2:4" ht="15.75" thickBot="1" x14ac:dyDescent="0.3"/>
    <row r="14" spans="2:4" ht="27" customHeight="1" x14ac:dyDescent="0.25">
      <c r="B14" s="46" t="s">
        <v>5</v>
      </c>
      <c r="C14" s="47"/>
      <c r="D14" s="48"/>
    </row>
    <row r="15" spans="2:4" ht="17.25" x14ac:dyDescent="0.3">
      <c r="B15" s="39" t="s">
        <v>0</v>
      </c>
      <c r="C15" s="40"/>
      <c r="D15" s="2">
        <v>200</v>
      </c>
    </row>
    <row r="16" spans="2:4" ht="17.25" x14ac:dyDescent="0.3">
      <c r="B16" s="37" t="s">
        <v>1</v>
      </c>
      <c r="C16" s="38"/>
      <c r="D16" s="3">
        <v>5</v>
      </c>
    </row>
    <row r="17" spans="2:4" ht="17.25" x14ac:dyDescent="0.3">
      <c r="B17" s="37" t="s">
        <v>2</v>
      </c>
      <c r="C17" s="38"/>
      <c r="D17" s="4">
        <v>1.0789999999999999E-2</v>
      </c>
    </row>
    <row r="18" spans="2:4" ht="17.25" x14ac:dyDescent="0.3">
      <c r="B18" s="49" t="s">
        <v>3</v>
      </c>
      <c r="C18" s="50"/>
      <c r="D18" s="27">
        <f>FV(taxa_mensal,qtd_anos*12,aporte*-1)</f>
        <v>16755.382799697527</v>
      </c>
    </row>
    <row r="19" spans="2:4" ht="18" thickBot="1" x14ac:dyDescent="0.35">
      <c r="B19" s="44" t="s">
        <v>4</v>
      </c>
      <c r="C19" s="45"/>
      <c r="D19" s="28">
        <f>patrimonio*rendimento_carteira</f>
        <v>100.53229679818516</v>
      </c>
    </row>
    <row r="20" spans="2:4" ht="15.75" thickBot="1" x14ac:dyDescent="0.3"/>
    <row r="21" spans="2:4" ht="25.5" x14ac:dyDescent="0.25">
      <c r="B21" s="41" t="s">
        <v>13</v>
      </c>
      <c r="C21" s="42"/>
      <c r="D21" s="43"/>
    </row>
    <row r="22" spans="2:4" ht="18.75" x14ac:dyDescent="0.35">
      <c r="B22" s="5" t="s">
        <v>6</v>
      </c>
      <c r="C22" s="6" t="s">
        <v>7</v>
      </c>
      <c r="D22" s="7" t="s">
        <v>11</v>
      </c>
    </row>
    <row r="23" spans="2:4" ht="17.25" x14ac:dyDescent="0.3">
      <c r="B23" s="8">
        <v>2</v>
      </c>
      <c r="C23" s="9">
        <f>FV(taxa_mensal,$B23*12,aporte*-1)</f>
        <v>5445.5254595290435</v>
      </c>
      <c r="D23" s="10">
        <f>C23*rendimento_carteira</f>
        <v>32.673152757174265</v>
      </c>
    </row>
    <row r="24" spans="2:4" ht="17.25" x14ac:dyDescent="0.3">
      <c r="B24" s="8">
        <v>5</v>
      </c>
      <c r="C24" s="11">
        <f>FV(taxa_mensal,$B24*12,aporte*-1)</f>
        <v>16755.382799697527</v>
      </c>
      <c r="D24" s="12">
        <f>C24*rendimento_carteira</f>
        <v>100.53229679818516</v>
      </c>
    </row>
    <row r="25" spans="2:4" ht="17.25" x14ac:dyDescent="0.3">
      <c r="B25" s="8">
        <v>10</v>
      </c>
      <c r="C25" s="11">
        <f>FV(taxa_mensal,$B25*12,aporte*-1)</f>
        <v>48656.842506034438</v>
      </c>
      <c r="D25" s="12">
        <f>C25*rendimento_carteira</f>
        <v>291.94105503620665</v>
      </c>
    </row>
    <row r="26" spans="2:4" ht="17.25" x14ac:dyDescent="0.3">
      <c r="B26" s="8">
        <v>20</v>
      </c>
      <c r="C26" s="11">
        <f>FV(taxa_mensal,$B26*12,aporte*-1)</f>
        <v>225039.68001941612</v>
      </c>
      <c r="D26" s="12">
        <f>C26*rendimento_carteira</f>
        <v>1350.2380801164968</v>
      </c>
    </row>
    <row r="27" spans="2:4" ht="18" thickBot="1" x14ac:dyDescent="0.35">
      <c r="B27" s="13">
        <v>30</v>
      </c>
      <c r="C27" s="14">
        <f>FV(taxa_mensal,$B27*12,aporte*-1)</f>
        <v>864433.93100094295</v>
      </c>
      <c r="D27" s="15">
        <f>C27*rendimento_carteira</f>
        <v>5186.6035860056581</v>
      </c>
    </row>
    <row r="28" spans="2:4" x14ac:dyDescent="0.25"/>
    <row r="29" spans="2:4" ht="17.25" x14ac:dyDescent="0.3">
      <c r="B29" s="51" t="s">
        <v>15</v>
      </c>
      <c r="C29" s="18" t="s">
        <v>14</v>
      </c>
      <c r="D29" s="17"/>
    </row>
    <row r="30" spans="2:4" ht="17.25" x14ac:dyDescent="0.3">
      <c r="B30" s="19" t="s">
        <v>30</v>
      </c>
      <c r="C30" s="20">
        <f>aporte</f>
        <v>200</v>
      </c>
      <c r="D30" s="19"/>
    </row>
    <row r="31" spans="2:4" x14ac:dyDescent="0.25"/>
    <row r="32" spans="2:4" ht="17.25" x14ac:dyDescent="0.3">
      <c r="B32" s="23" t="s">
        <v>16</v>
      </c>
      <c r="C32" s="23" t="s">
        <v>17</v>
      </c>
      <c r="D32" s="23" t="s">
        <v>18</v>
      </c>
    </row>
    <row r="33" spans="2:4" ht="17.25" x14ac:dyDescent="0.3">
      <c r="B33" s="21" t="s">
        <v>19</v>
      </c>
      <c r="C33" s="22">
        <f>VLOOKUP($C$29&amp;" - " &amp;B33,tab_Apoios!$A:$D,4,0)</f>
        <v>0.5</v>
      </c>
      <c r="D33" s="26">
        <f t="shared" ref="D33:D38" si="0">C33*$C$30</f>
        <v>100</v>
      </c>
    </row>
    <row r="34" spans="2:4" ht="17.25" x14ac:dyDescent="0.3">
      <c r="B34" s="21" t="s">
        <v>20</v>
      </c>
      <c r="C34" s="22">
        <f>VLOOKUP($C$29&amp;" - " &amp;B34,tab_Apoios!$A:$D,4,0)</f>
        <v>0.1</v>
      </c>
      <c r="D34" s="26">
        <f t="shared" si="0"/>
        <v>20</v>
      </c>
    </row>
    <row r="35" spans="2:4" ht="17.25" x14ac:dyDescent="0.3">
      <c r="B35" s="21" t="s">
        <v>21</v>
      </c>
      <c r="C35" s="22">
        <f>VLOOKUP($C$29&amp;" - " &amp;B35,tab_Apoios!$A:$D,4,0)</f>
        <v>0.05</v>
      </c>
      <c r="D35" s="26">
        <f t="shared" si="0"/>
        <v>10</v>
      </c>
    </row>
    <row r="36" spans="2:4" ht="17.25" x14ac:dyDescent="0.3">
      <c r="B36" s="21" t="s">
        <v>22</v>
      </c>
      <c r="C36" s="22">
        <f>VLOOKUP($C$29&amp;" - " &amp;B36,tab_Apoios!$A:$D,4,0)</f>
        <v>0.05</v>
      </c>
      <c r="D36" s="26">
        <f t="shared" si="0"/>
        <v>10</v>
      </c>
    </row>
    <row r="37" spans="2:4" ht="17.25" x14ac:dyDescent="0.3">
      <c r="B37" s="21" t="s">
        <v>23</v>
      </c>
      <c r="C37" s="22">
        <f>VLOOKUP($C$29&amp;" - " &amp;B37,tab_Apoios!$A:$D,4,0)</f>
        <v>0.2</v>
      </c>
      <c r="D37" s="26">
        <f t="shared" si="0"/>
        <v>40</v>
      </c>
    </row>
    <row r="38" spans="2:4" ht="17.25" x14ac:dyDescent="0.3">
      <c r="B38" s="21" t="s">
        <v>24</v>
      </c>
      <c r="C38" s="22">
        <f>VLOOKUP($C$29&amp;" - " &amp;B38,tab_Apoios!$A:$D,4,0)</f>
        <v>0.1</v>
      </c>
      <c r="D38" s="26">
        <f t="shared" si="0"/>
        <v>20</v>
      </c>
    </row>
    <row r="39" spans="2:4" ht="17.25" x14ac:dyDescent="0.3">
      <c r="B39" s="24"/>
      <c r="C39" s="24"/>
      <c r="D39" s="25">
        <f>SUM(D33:D38)</f>
        <v>200</v>
      </c>
    </row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ht="15.75" customHeight="1" x14ac:dyDescent="0.25"/>
    <row r="64" x14ac:dyDescent="0.25"/>
  </sheetData>
  <mergeCells count="11">
    <mergeCell ref="B9:D9"/>
    <mergeCell ref="B12:C12"/>
    <mergeCell ref="B11:C11"/>
    <mergeCell ref="B10:C10"/>
    <mergeCell ref="B21:D21"/>
    <mergeCell ref="B19:C19"/>
    <mergeCell ref="B14:D14"/>
    <mergeCell ref="B15:C15"/>
    <mergeCell ref="B16:C16"/>
    <mergeCell ref="B17:C17"/>
    <mergeCell ref="B18:C18"/>
  </mergeCells>
  <dataValidations count="1">
    <dataValidation type="list" allowBlank="1" showInputMessage="1" showErrorMessage="1" sqref="C29" xr:uid="{C7A2C503-7CEE-4CED-BCF6-2957D93C8B0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33C5-5E68-47CE-99D4-3E3B7C5FD824}">
  <dimension ref="A2:D20"/>
  <sheetViews>
    <sheetView zoomScale="90" zoomScaleNormal="90" workbookViewId="0">
      <selection activeCell="B30" sqref="B30"/>
    </sheetView>
  </sheetViews>
  <sheetFormatPr defaultRowHeight="15" x14ac:dyDescent="0.25"/>
  <cols>
    <col min="1" max="1" width="42" bestFit="1" customWidth="1"/>
    <col min="2" max="2" width="18" bestFit="1" customWidth="1"/>
    <col min="3" max="3" width="23" bestFit="1" customWidth="1"/>
    <col min="4" max="4" width="10" customWidth="1"/>
  </cols>
  <sheetData>
    <row r="2" spans="1:4" ht="17.25" x14ac:dyDescent="0.3">
      <c r="A2" s="23" t="s">
        <v>27</v>
      </c>
      <c r="B2" s="23" t="s">
        <v>15</v>
      </c>
      <c r="C2" s="23" t="s">
        <v>16</v>
      </c>
      <c r="D2" s="23" t="s">
        <v>25</v>
      </c>
    </row>
    <row r="3" spans="1:4" ht="17.25" x14ac:dyDescent="0.3">
      <c r="A3" s="21" t="str">
        <f>B3&amp;" - "&amp;C3</f>
        <v>CONSERVADOR - PAPEL</v>
      </c>
      <c r="B3" s="21" t="s">
        <v>26</v>
      </c>
      <c r="C3" s="21" t="s">
        <v>19</v>
      </c>
      <c r="D3" s="22">
        <v>0.3</v>
      </c>
    </row>
    <row r="4" spans="1:4" ht="17.25" x14ac:dyDescent="0.3">
      <c r="A4" s="21" t="str">
        <f t="shared" ref="A4:A20" si="0">B4&amp;" - "&amp;C4</f>
        <v>CONSERVADOR - TIJOLO</v>
      </c>
      <c r="B4" s="21" t="s">
        <v>26</v>
      </c>
      <c r="C4" s="21" t="s">
        <v>20</v>
      </c>
      <c r="D4" s="22">
        <v>0.5</v>
      </c>
    </row>
    <row r="5" spans="1:4" ht="17.25" x14ac:dyDescent="0.3">
      <c r="A5" s="21" t="str">
        <f t="shared" si="0"/>
        <v>CONSERVADOR - HÍBRIDO</v>
      </c>
      <c r="B5" s="21" t="s">
        <v>26</v>
      </c>
      <c r="C5" s="21" t="s">
        <v>21</v>
      </c>
      <c r="D5" s="22">
        <v>0.1</v>
      </c>
    </row>
    <row r="6" spans="1:4" ht="17.25" x14ac:dyDescent="0.3">
      <c r="A6" s="21" t="str">
        <f t="shared" si="0"/>
        <v>CONSERVADOR - FOFs</v>
      </c>
      <c r="B6" s="21" t="s">
        <v>26</v>
      </c>
      <c r="C6" s="21" t="s">
        <v>22</v>
      </c>
      <c r="D6" s="22">
        <v>0.1</v>
      </c>
    </row>
    <row r="7" spans="1:4" ht="17.25" x14ac:dyDescent="0.3">
      <c r="A7" s="21" t="str">
        <f t="shared" si="0"/>
        <v>CONSERVADOR - DESENVOLVIMENTO</v>
      </c>
      <c r="B7" s="21" t="s">
        <v>26</v>
      </c>
      <c r="C7" s="21" t="s">
        <v>23</v>
      </c>
      <c r="D7" s="22">
        <v>0</v>
      </c>
    </row>
    <row r="8" spans="1:4" ht="18" thickBot="1" x14ac:dyDescent="0.35">
      <c r="A8" s="29" t="str">
        <f t="shared" si="0"/>
        <v>CONSERVADOR - HOTELARIAS</v>
      </c>
      <c r="B8" s="29" t="s">
        <v>26</v>
      </c>
      <c r="C8" s="29" t="s">
        <v>24</v>
      </c>
      <c r="D8" s="30">
        <v>0</v>
      </c>
    </row>
    <row r="9" spans="1:4" ht="17.25" x14ac:dyDescent="0.3">
      <c r="A9" s="21" t="str">
        <f t="shared" si="0"/>
        <v>MODERADO - PAPEL</v>
      </c>
      <c r="B9" s="21" t="s">
        <v>28</v>
      </c>
      <c r="C9" s="21" t="s">
        <v>19</v>
      </c>
      <c r="D9" s="22">
        <v>0.32</v>
      </c>
    </row>
    <row r="10" spans="1:4" ht="17.25" x14ac:dyDescent="0.3">
      <c r="A10" s="21" t="str">
        <f t="shared" si="0"/>
        <v>MODERADO - TIJOLO</v>
      </c>
      <c r="B10" s="21" t="s">
        <v>28</v>
      </c>
      <c r="C10" s="21" t="s">
        <v>20</v>
      </c>
      <c r="D10" s="22">
        <v>0.35</v>
      </c>
    </row>
    <row r="11" spans="1:4" ht="17.25" x14ac:dyDescent="0.3">
      <c r="A11" s="21" t="str">
        <f t="shared" si="0"/>
        <v>MODERADO - HÍBRIDO</v>
      </c>
      <c r="B11" s="21" t="s">
        <v>28</v>
      </c>
      <c r="C11" s="21" t="s">
        <v>21</v>
      </c>
      <c r="D11" s="22">
        <v>0.08</v>
      </c>
    </row>
    <row r="12" spans="1:4" ht="17.25" x14ac:dyDescent="0.3">
      <c r="A12" s="21" t="str">
        <f t="shared" si="0"/>
        <v>MODERADO - FOFs</v>
      </c>
      <c r="B12" s="21" t="s">
        <v>28</v>
      </c>
      <c r="C12" s="21" t="s">
        <v>22</v>
      </c>
      <c r="D12" s="22">
        <v>0.05</v>
      </c>
    </row>
    <row r="13" spans="1:4" ht="17.25" x14ac:dyDescent="0.3">
      <c r="A13" s="21" t="str">
        <f t="shared" si="0"/>
        <v>MODERADO - DESENVOLVIMENTO</v>
      </c>
      <c r="B13" s="21" t="s">
        <v>28</v>
      </c>
      <c r="C13" s="21" t="s">
        <v>23</v>
      </c>
      <c r="D13" s="22">
        <v>0.1</v>
      </c>
    </row>
    <row r="14" spans="1:4" ht="18" thickBot="1" x14ac:dyDescent="0.35">
      <c r="A14" s="29" t="str">
        <f t="shared" si="0"/>
        <v>MODERADO - HOTELARIAS</v>
      </c>
      <c r="B14" s="29" t="s">
        <v>28</v>
      </c>
      <c r="C14" s="29" t="s">
        <v>24</v>
      </c>
      <c r="D14" s="30">
        <v>0.1</v>
      </c>
    </row>
    <row r="15" spans="1:4" ht="17.25" x14ac:dyDescent="0.3">
      <c r="A15" s="21" t="str">
        <f t="shared" si="0"/>
        <v>AGRESSIVO - PAPEL</v>
      </c>
      <c r="B15" s="21" t="s">
        <v>29</v>
      </c>
      <c r="C15" s="21" t="s">
        <v>19</v>
      </c>
      <c r="D15" s="22">
        <v>0.5</v>
      </c>
    </row>
    <row r="16" spans="1:4" ht="17.25" x14ac:dyDescent="0.3">
      <c r="A16" s="21" t="str">
        <f t="shared" si="0"/>
        <v>AGRESSIVO - TIJOLO</v>
      </c>
      <c r="B16" s="21" t="s">
        <v>29</v>
      </c>
      <c r="C16" s="21" t="s">
        <v>20</v>
      </c>
      <c r="D16" s="22">
        <v>0.1</v>
      </c>
    </row>
    <row r="17" spans="1:4" ht="17.25" x14ac:dyDescent="0.3">
      <c r="A17" s="21" t="str">
        <f t="shared" si="0"/>
        <v>AGRESSIVO - HÍBRIDO</v>
      </c>
      <c r="B17" s="21" t="s">
        <v>29</v>
      </c>
      <c r="C17" s="21" t="s">
        <v>21</v>
      </c>
      <c r="D17" s="22">
        <v>0.05</v>
      </c>
    </row>
    <row r="18" spans="1:4" ht="17.25" x14ac:dyDescent="0.3">
      <c r="A18" s="21" t="str">
        <f t="shared" si="0"/>
        <v>AGRESSIVO - FOFs</v>
      </c>
      <c r="B18" s="21" t="s">
        <v>29</v>
      </c>
      <c r="C18" s="21" t="s">
        <v>22</v>
      </c>
      <c r="D18" s="22">
        <v>0.05</v>
      </c>
    </row>
    <row r="19" spans="1:4" ht="17.25" x14ac:dyDescent="0.3">
      <c r="A19" s="21" t="str">
        <f t="shared" si="0"/>
        <v>AGRESSIVO - DESENVOLVIMENTO</v>
      </c>
      <c r="B19" s="21" t="s">
        <v>29</v>
      </c>
      <c r="C19" s="21" t="s">
        <v>23</v>
      </c>
      <c r="D19" s="22">
        <v>0.2</v>
      </c>
    </row>
    <row r="20" spans="1:4" ht="17.25" x14ac:dyDescent="0.3">
      <c r="A20" s="21" t="str">
        <f t="shared" si="0"/>
        <v>AGRESSIVO - HOTELARIAS</v>
      </c>
      <c r="B20" s="21" t="s">
        <v>29</v>
      </c>
      <c r="C20" s="21" t="s">
        <v>24</v>
      </c>
      <c r="D20" s="2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tab_Apoios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Suélen Gadelha</dc:creator>
  <cp:lastModifiedBy>Suélen Gadelha</cp:lastModifiedBy>
  <dcterms:created xsi:type="dcterms:W3CDTF">2025-10-21T01:18:13Z</dcterms:created>
  <dcterms:modified xsi:type="dcterms:W3CDTF">2026-01-15T23:28:41Z</dcterms:modified>
</cp:coreProperties>
</file>